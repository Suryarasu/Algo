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otato\OneDrive\Documents\Year4\RSM434\"/>
    </mc:Choice>
  </mc:AlternateContent>
  <xr:revisionPtr revIDLastSave="0" documentId="11_CE4FE845EDD6659F8050FCC3CE06AA389E9B2CB5" xr6:coauthVersionLast="45" xr6:coauthVersionMax="45" xr10:uidLastSave="{00000000-0000-0000-0000-000000000000}"/>
  <bookViews>
    <workbookView xWindow="30612" yWindow="-108" windowWidth="30936" windowHeight="16896" xr2:uid="{00000000-000D-0000-FFFF-FFFF00000000}"/>
  </bookViews>
  <sheets>
    <sheet name="Trade Sheet" sheetId="1" r:id="rId1"/>
    <sheet name="Data" sheetId="2" r:id="rId2"/>
  </sheets>
  <functionGroups builtInGroupCount="19"/>
  <definedNames>
    <definedName name="ALGO_ASK">'Trade Sheet'!$C$10</definedName>
    <definedName name="ALGO_BID">'Trade Sheet'!$B$10</definedName>
    <definedName name="current_position">'Trade Sheet'!$G$5</definedName>
    <definedName name="order1ID">Data!$C$6</definedName>
    <definedName name="Order2ID">Data!$C$7</definedName>
    <definedName name="quantitytraded">'Trade Sheet'!$B$24</definedName>
    <definedName name="reqspread">'Trade Sheet'!$B$23</definedName>
    <definedName name="tick1">'Trade Sheet'!$L$9</definedName>
    <definedName name="tick2">'Trade Sheet'!$L$10</definedName>
    <definedName name="timeelapsed">'Trade Sheet'!$B$3</definedName>
    <definedName name="timeremaining">'Trade Sheet'!$B$4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5" i="1" l="1"/>
  <c r="C19" i="1"/>
  <c r="B3" i="2"/>
  <c r="J5" i="1"/>
  <c r="I5" i="1"/>
  <c r="B20" i="1"/>
  <c r="C20" i="1"/>
  <c r="B18" i="1"/>
  <c r="B4" i="1"/>
  <c r="C21" i="1"/>
  <c r="B10" i="1"/>
  <c r="B19" i="1"/>
  <c r="L5" i="1"/>
  <c r="C17" i="1"/>
  <c r="H5" i="1"/>
  <c r="M5" i="1"/>
  <c r="B17" i="1"/>
  <c r="G5" i="1"/>
  <c r="C18" i="1"/>
  <c r="K5" i="1"/>
  <c r="C10" i="1"/>
  <c r="B21" i="1"/>
  <c r="B13" i="1"/>
  <c r="B3" i="1" l="1"/>
  <c r="B5" i="1"/>
  <c r="F9" i="1" a="1"/>
  <c r="L11" i="1" l="1"/>
  <c r="H14" i="1"/>
  <c r="J10" i="1"/>
  <c r="G14" i="1"/>
  <c r="H10" i="1"/>
  <c r="L13" i="1"/>
  <c r="J14" i="1"/>
  <c r="I13" i="1"/>
  <c r="G13" i="1"/>
  <c r="M15" i="1"/>
  <c r="J16" i="1"/>
  <c r="F11" i="1"/>
  <c r="M14" i="1"/>
  <c r="G10" i="1"/>
  <c r="I12" i="1"/>
  <c r="L9" i="1"/>
  <c r="M11" i="1"/>
  <c r="J15" i="1"/>
  <c r="K12" i="1"/>
  <c r="K13" i="1"/>
  <c r="M10" i="1"/>
  <c r="M13" i="1"/>
  <c r="H11" i="1"/>
  <c r="K9" i="1"/>
  <c r="M16" i="1"/>
  <c r="G15" i="1"/>
  <c r="J11" i="1"/>
  <c r="H13" i="1"/>
  <c r="J9" i="1"/>
  <c r="J13" i="1"/>
  <c r="L12" i="1"/>
  <c r="I16" i="1"/>
  <c r="G11" i="1"/>
  <c r="I14" i="1"/>
  <c r="I9" i="1"/>
  <c r="G9" i="1"/>
  <c r="K16" i="1"/>
  <c r="F14" i="1"/>
  <c r="F15" i="1"/>
  <c r="I10" i="1"/>
  <c r="H9" i="1"/>
  <c r="H12" i="1"/>
  <c r="L15" i="1"/>
  <c r="F13" i="1"/>
  <c r="M9" i="1"/>
  <c r="J12" i="1"/>
  <c r="F16" i="1"/>
  <c r="K10" i="1"/>
  <c r="L14" i="1"/>
  <c r="H16" i="1"/>
  <c r="K14" i="1"/>
  <c r="M12" i="1"/>
  <c r="F9" i="1"/>
  <c r="C6" i="2" s="1"/>
  <c r="I15" i="1"/>
  <c r="H15" i="1"/>
  <c r="K11" i="1"/>
  <c r="G16" i="1"/>
  <c r="F10" i="1"/>
  <c r="C7" i="2" s="1"/>
  <c r="L10" i="1"/>
  <c r="F12" i="1"/>
  <c r="K15" i="1"/>
  <c r="G12" i="1"/>
  <c r="L16" i="1"/>
  <c r="I11" i="1"/>
  <c r="B23" i="1"/>
  <c r="B24" i="1"/>
</calcChain>
</file>

<file path=xl/sharedStrings.xml><?xml version="1.0" encoding="utf-8"?>
<sst xmlns="http://schemas.openxmlformats.org/spreadsheetml/2006/main" count="48" uniqueCount="43">
  <si>
    <t>Bid</t>
  </si>
  <si>
    <t>Ask</t>
  </si>
  <si>
    <t>Time Remaining</t>
  </si>
  <si>
    <t>Trigger</t>
  </si>
  <si>
    <t>ALGO</t>
  </si>
  <si>
    <t>Top</t>
  </si>
  <si>
    <t>2nd</t>
  </si>
  <si>
    <t>3rd</t>
  </si>
  <si>
    <t>4th</t>
  </si>
  <si>
    <t>5th</t>
  </si>
  <si>
    <t>Open Orders</t>
  </si>
  <si>
    <t>DATA</t>
  </si>
  <si>
    <t>Order ID</t>
  </si>
  <si>
    <t>Price</t>
  </si>
  <si>
    <t>Qty</t>
  </si>
  <si>
    <t>Qty Remaining</t>
  </si>
  <si>
    <t>VWAP</t>
  </si>
  <si>
    <t>Period</t>
  </si>
  <si>
    <t>Tick</t>
  </si>
  <si>
    <t>Timestamp</t>
  </si>
  <si>
    <t>Buy</t>
  </si>
  <si>
    <t>Sell</t>
  </si>
  <si>
    <t>Order IDs</t>
  </si>
  <si>
    <t>Order #1</t>
  </si>
  <si>
    <t xml:space="preserve"> </t>
  </si>
  <si>
    <t>Order #2</t>
  </si>
  <si>
    <t>Ticker</t>
  </si>
  <si>
    <t>Position</t>
  </si>
  <si>
    <t>Last</t>
  </si>
  <si>
    <t>Bid Size</t>
  </si>
  <si>
    <t>Ask Size</t>
  </si>
  <si>
    <t>Volume</t>
  </si>
  <si>
    <t>Realized P&amp;L</t>
  </si>
  <si>
    <t>Unrealized P&amp;L</t>
  </si>
  <si>
    <t>Required Spread</t>
  </si>
  <si>
    <t>Current Bid-Ask Prices</t>
  </si>
  <si>
    <t>Last Traded Price</t>
  </si>
  <si>
    <t>Market Data</t>
  </si>
  <si>
    <t>&lt;-- input</t>
  </si>
  <si>
    <t>Market Making Algorithm - ALGO 2</t>
  </si>
  <si>
    <t>Time Elapsed</t>
  </si>
  <si>
    <t>Quantity Traded</t>
  </si>
  <si>
    <t>Total 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</si>
</sst>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-* #,##0_-;\-* #,##0_-;_-* &quot;-&quot;??_-;_-@_-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</borders>
  <cellStyleXfs count="8">
    <xf numFmtId="0" fontId="0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3" fillId="4" borderId="0" applyNumberFormat="0" applyBorder="0" applyAlignment="0" applyProtection="0"/>
    <xf numFmtId="0" fontId="4" fillId="0" borderId="2" applyNumberFormat="0" applyFill="0" applyAlignment="0" applyProtection="0"/>
    <xf numFmtId="0" fontId="2" fillId="6" borderId="0" applyNumberFormat="0" applyBorder="0" applyAlignment="0" applyProtection="0"/>
    <xf numFmtId="0" fontId="3" fillId="7" borderId="0" applyNumberFormat="0" applyBorder="0" applyAlignment="0" applyProtection="0"/>
    <xf numFmtId="0" fontId="2" fillId="8" borderId="0" applyNumberFormat="0" applyBorder="0" applyAlignment="0" applyProtection="0"/>
  </cellStyleXfs>
  <cellXfs count="16">
    <xf numFmtId="0" fontId="0" fillId="0" borderId="0" xfId="0"/>
    <xf numFmtId="0" fontId="0" fillId="2" borderId="0" xfId="0" applyFill="1"/>
    <xf numFmtId="0" fontId="1" fillId="0" borderId="0" xfId="0" applyFont="1"/>
    <xf numFmtId="0" fontId="0" fillId="3" borderId="0" xfId="0" applyFill="1"/>
    <xf numFmtId="0" fontId="3" fillId="4" borderId="1" xfId="3" applyBorder="1"/>
    <xf numFmtId="0" fontId="1" fillId="5" borderId="1" xfId="0" applyFont="1" applyFill="1" applyBorder="1"/>
    <xf numFmtId="44" fontId="0" fillId="5" borderId="1" xfId="2" applyFont="1" applyFill="1" applyBorder="1"/>
    <xf numFmtId="164" fontId="0" fillId="5" borderId="1" xfId="1" applyNumberFormat="1" applyFont="1" applyFill="1" applyBorder="1"/>
    <xf numFmtId="43" fontId="0" fillId="5" borderId="1" xfId="1" applyFont="1" applyFill="1" applyBorder="1"/>
    <xf numFmtId="0" fontId="5" fillId="0" borderId="0" xfId="0" applyFont="1"/>
    <xf numFmtId="0" fontId="2" fillId="6" borderId="0" xfId="5"/>
    <xf numFmtId="0" fontId="3" fillId="4" borderId="0" xfId="3"/>
    <xf numFmtId="0" fontId="3" fillId="7" borderId="0" xfId="6"/>
    <xf numFmtId="0" fontId="2" fillId="8" borderId="0" xfId="7"/>
    <xf numFmtId="44" fontId="2" fillId="6" borderId="0" xfId="5" applyNumberFormat="1"/>
    <xf numFmtId="0" fontId="4" fillId="0" borderId="2" xfId="4" applyAlignment="1">
      <alignment horizontal="center"/>
    </xf>
  </cellXfs>
  <cellStyles count="8">
    <cellStyle name="20% - Accent1" xfId="5" builtinId="30"/>
    <cellStyle name="20% - Accent2" xfId="7" builtinId="34"/>
    <cellStyle name="Accent1" xfId="3" builtinId="29"/>
    <cellStyle name="Accent2" xfId="6" builtinId="33"/>
    <cellStyle name="Comma" xfId="1" builtinId="3"/>
    <cellStyle name="Currency" xfId="2" builtinId="4"/>
    <cellStyle name="Heading 1" xfId="4" builtinId="1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it2.rtd">
      <tp t="e">
        <v>#N/A</v>
        <stp/>
        <stp>ALGO</stp>
        <stp>PLREL</stp>
        <tr r="J5" s="1"/>
      </tp>
      <tp t="e">
        <v>#N/A</v>
        <stp/>
        <stp>ALGO</stp>
        <stp>PLUNR</stp>
        <tr r="K5" s="1"/>
      </tp>
      <tp t="e">
        <v>#N/A</v>
        <stp/>
        <stp>ALGO</stp>
        <stp>VOLUME</stp>
        <tr r="M5" s="1"/>
      </tp>
      <tp t="e">
        <v>#N/A</v>
        <stp/>
        <stp>ALGO</stp>
        <stp>BID</stp>
        <stp>1</stp>
        <tr r="B17" s="1"/>
      </tp>
      <tp t="e">
        <v>#N/A</v>
        <stp/>
        <stp>ALGO</stp>
        <stp>BID</stp>
        <stp>2</stp>
        <tr r="B18" s="1"/>
      </tp>
      <tp t="e">
        <v>#N/A</v>
        <stp/>
        <stp>ALGO</stp>
        <stp>BID</stp>
        <stp>3</stp>
        <tr r="B19" s="1"/>
      </tp>
      <tp t="e">
        <v>#N/A</v>
        <stp/>
        <stp>ALGO</stp>
        <stp>BID</stp>
        <stp>4</stp>
        <tr r="B20" s="1"/>
      </tp>
      <tp t="e">
        <v>#N/A</v>
        <stp/>
        <stp>ALGO</stp>
        <stp>BID</stp>
        <stp>5</stp>
        <tr r="B21" s="1"/>
      </tp>
      <tp t="e">
        <v>#N/A</v>
        <stp/>
        <stp>TIMEREMAINING</stp>
        <tr r="B4" s="1"/>
      </tp>
      <tp t="e">
        <v>#N/A</v>
        <stp/>
        <stp>ALGO</stp>
        <stp>ASK</stp>
        <stp>3</stp>
        <tr r="C19" s="1"/>
      </tp>
      <tp t="e">
        <v>#N/A</v>
        <stp/>
        <stp>ALGO</stp>
        <stp>ASK</stp>
        <stp>2</stp>
        <tr r="C18" s="1"/>
      </tp>
      <tp t="e">
        <v>#N/A</v>
        <stp/>
        <stp>ALGO</stp>
        <stp>ASK</stp>
        <stp>1</stp>
        <tr r="C17" s="1"/>
      </tp>
      <tp t="e">
        <v>#N/A</v>
        <stp/>
        <stp>ALGO</stp>
        <stp>ASK</stp>
        <stp>5</stp>
        <tr r="C21" s="1"/>
      </tp>
      <tp t="e">
        <v>#N/A</v>
        <stp/>
        <stp>ALGO</stp>
        <stp>ASK</stp>
        <stp>4</stp>
        <tr r="C20" s="1"/>
      </tp>
      <tp t="e">
        <v>#N/A</v>
        <stp/>
        <stp>ALGO</stp>
        <stp>POSITION</stp>
        <tr r="G5" s="1"/>
      </tp>
      <tp t="e">
        <v>#N/A</v>
        <stp/>
        <stp>ALGO</stp>
        <stp>OPENORDERS</stp>
        <tr r="B3" s="2"/>
      </tp>
      <tp t="e">
        <v>#N/A</v>
        <stp/>
        <stp>ALGO</stp>
        <stp>BSZ</stp>
        <tr r="I5" s="1"/>
      </tp>
      <tp t="e">
        <v>#N/A</v>
        <stp/>
        <stp>ALGO</stp>
        <stp>BID</stp>
        <tr r="B10" s="1"/>
      </tp>
      <tp t="e">
        <v>#N/A</v>
        <stp/>
        <stp>ALGO</stp>
        <stp>ASZ</stp>
        <tr r="L5" s="1"/>
      </tp>
      <tp t="e">
        <v>#N/A</v>
        <stp/>
        <stp>ALGO</stp>
        <stp>ASK</stp>
        <tr r="C10" s="1"/>
      </tp>
      <tp t="e">
        <v>#N/A</v>
        <stp/>
        <stp>ALGO</stp>
        <stp>LAST</stp>
        <tr r="B13" s="1"/>
        <tr r="H5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25"/>
  <sheetViews>
    <sheetView tabSelected="1" workbookViewId="0">
      <selection activeCell="T32" sqref="T32"/>
    </sheetView>
  </sheetViews>
  <sheetFormatPr defaultRowHeight="14.4" x14ac:dyDescent="0.3"/>
  <cols>
    <col min="1" max="1" width="15.88671875" customWidth="1"/>
    <col min="2" max="2" width="12" customWidth="1"/>
    <col min="3" max="3" width="12.5546875" customWidth="1"/>
    <col min="6" max="6" width="13.109375" customWidth="1"/>
    <col min="7" max="7" width="17.44140625" customWidth="1"/>
    <col min="8" max="8" width="15.109375" customWidth="1"/>
    <col min="9" max="9" width="16.44140625" customWidth="1"/>
    <col min="10" max="10" width="11.44140625" customWidth="1"/>
    <col min="11" max="11" width="13.109375" customWidth="1"/>
    <col min="12" max="12" width="10.6640625" customWidth="1"/>
    <col min="13" max="13" width="20.44140625" customWidth="1"/>
    <col min="14" max="14" width="13.5546875" customWidth="1"/>
  </cols>
  <sheetData>
    <row r="1" spans="1:13" ht="20.399999999999999" thickBot="1" x14ac:dyDescent="0.45">
      <c r="A1" s="15" t="s">
        <v>39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</row>
    <row r="2" spans="1:13" ht="15" thickTop="1" x14ac:dyDescent="0.3"/>
    <row r="3" spans="1:13" x14ac:dyDescent="0.3">
      <c r="A3" s="11" t="s">
        <v>40</v>
      </c>
      <c r="B3" s="10" t="e">
        <f>300-timeremaining</f>
        <v>#N/A</v>
      </c>
    </row>
    <row r="4" spans="1:13" x14ac:dyDescent="0.3">
      <c r="A4" s="11" t="s">
        <v>2</v>
      </c>
      <c r="B4" s="10" t="e">
        <f>RTD("rit2.rtd",,"TIMEREMAINING")</f>
        <v>#N/A</v>
      </c>
      <c r="F4" s="4" t="s">
        <v>26</v>
      </c>
      <c r="G4" s="4" t="s">
        <v>27</v>
      </c>
      <c r="H4" s="4" t="s">
        <v>28</v>
      </c>
      <c r="I4" s="4" t="s">
        <v>29</v>
      </c>
      <c r="J4" s="4" t="s">
        <v>32</v>
      </c>
      <c r="K4" s="4" t="s">
        <v>33</v>
      </c>
      <c r="L4" s="4" t="s">
        <v>30</v>
      </c>
      <c r="M4" s="4" t="s">
        <v>31</v>
      </c>
    </row>
    <row r="5" spans="1:13" x14ac:dyDescent="0.3">
      <c r="A5" s="11" t="s">
        <v>42</v>
      </c>
      <c r="B5" s="14" t="e">
        <f>J5+K5</f>
        <v>#N/A</v>
      </c>
      <c r="F5" s="5" t="s">
        <v>4</v>
      </c>
      <c r="G5" s="8" t="e">
        <f>RTD("rit2.rtd",,$F5,"POSITION")</f>
        <v>#N/A</v>
      </c>
      <c r="H5" s="6" t="e">
        <f>RTD("rit2.rtd",,$F5,"LAST")</f>
        <v>#N/A</v>
      </c>
      <c r="I5" s="7" t="e">
        <f>RTD("rit2.rtd",,$F5,"BSZ")</f>
        <v>#N/A</v>
      </c>
      <c r="J5" s="6" t="e">
        <f>RTD("rit2.rtd",,$F5,"PLREL")</f>
        <v>#N/A</v>
      </c>
      <c r="K5" s="6" t="e">
        <f>RTD("rit2.rtd",,$F5,"PLUNR")</f>
        <v>#N/A</v>
      </c>
      <c r="L5" s="7" t="e">
        <f>RTD("rit2.rtd",,$F5,"ASZ")</f>
        <v>#N/A</v>
      </c>
      <c r="M5" s="7" t="e">
        <f>RTD("rit2.rtd",,$F5,"VOLUME")</f>
        <v>#N/A</v>
      </c>
    </row>
    <row r="7" spans="1:13" x14ac:dyDescent="0.3">
      <c r="A7" s="12" t="s">
        <v>35</v>
      </c>
      <c r="B7" s="12"/>
      <c r="C7" s="12"/>
      <c r="F7" s="2" t="s">
        <v>10</v>
      </c>
    </row>
    <row r="8" spans="1:13" x14ac:dyDescent="0.3">
      <c r="A8" s="13"/>
      <c r="B8" s="13" t="s">
        <v>20</v>
      </c>
      <c r="C8" s="13" t="s">
        <v>21</v>
      </c>
      <c r="F8" s="11" t="s">
        <v>12</v>
      </c>
      <c r="G8" s="11" t="s">
        <v>13</v>
      </c>
      <c r="H8" s="11" t="s">
        <v>14</v>
      </c>
      <c r="I8" s="11" t="s">
        <v>15</v>
      </c>
      <c r="J8" s="11" t="s">
        <v>16</v>
      </c>
      <c r="K8" s="11" t="s">
        <v>17</v>
      </c>
      <c r="L8" s="11" t="s">
        <v>18</v>
      </c>
      <c r="M8" s="11" t="s">
        <v>19</v>
      </c>
    </row>
    <row r="9" spans="1:13" x14ac:dyDescent="0.3">
      <c r="A9" s="13"/>
      <c r="B9" s="13" t="s">
        <v>0</v>
      </c>
      <c r="C9" s="13" t="s">
        <v>1</v>
      </c>
      <c r="F9" s="10" t="e">
        <f t="array" ref="F9:M16">PARSERTD(Data!B3)</f>
        <v>#VALUE!</v>
      </c>
      <c r="G9" s="10" t="e">
        <v>#VALUE!</v>
      </c>
      <c r="H9" s="10" t="e">
        <v>#VALUE!</v>
      </c>
      <c r="I9" s="10" t="e">
        <v>#VALUE!</v>
      </c>
      <c r="J9" s="10" t="e">
        <v>#VALUE!</v>
      </c>
      <c r="K9" s="10" t="e">
        <v>#VALUE!</v>
      </c>
      <c r="L9" s="10" t="e">
        <v>#VALUE!</v>
      </c>
      <c r="M9" s="10" t="e">
        <v>#VALUE!</v>
      </c>
    </row>
    <row r="10" spans="1:13" x14ac:dyDescent="0.3">
      <c r="A10" s="13" t="s">
        <v>4</v>
      </c>
      <c r="B10" s="13" t="e">
        <f>RTD("rit2.rtd",,"ALGO","BID")</f>
        <v>#N/A</v>
      </c>
      <c r="C10" s="13" t="e">
        <f>RTD("rit2.rtd",,"ALGO","ASK")</f>
        <v>#N/A</v>
      </c>
      <c r="F10" s="10" t="e">
        <v>#VALUE!</v>
      </c>
      <c r="G10" s="10" t="e">
        <v>#VALUE!</v>
      </c>
      <c r="H10" s="10" t="e">
        <v>#VALUE!</v>
      </c>
      <c r="I10" s="10" t="e">
        <v>#VALUE!</v>
      </c>
      <c r="J10" s="10" t="e">
        <v>#VALUE!</v>
      </c>
      <c r="K10" s="10" t="e">
        <v>#VALUE!</v>
      </c>
      <c r="L10" s="10" t="e">
        <v>#VALUE!</v>
      </c>
      <c r="M10" s="10" t="e">
        <v>#VALUE!</v>
      </c>
    </row>
    <row r="11" spans="1:13" x14ac:dyDescent="0.3">
      <c r="F11" s="10" t="e">
        <v>#VALUE!</v>
      </c>
      <c r="G11" s="10" t="e">
        <v>#VALUE!</v>
      </c>
      <c r="H11" s="10" t="e">
        <v>#VALUE!</v>
      </c>
      <c r="I11" s="10" t="e">
        <v>#VALUE!</v>
      </c>
      <c r="J11" s="10" t="e">
        <v>#VALUE!</v>
      </c>
      <c r="K11" s="10" t="e">
        <v>#VALUE!</v>
      </c>
      <c r="L11" s="10" t="e">
        <v>#VALUE!</v>
      </c>
      <c r="M11" s="10" t="e">
        <v>#VALUE!</v>
      </c>
    </row>
    <row r="12" spans="1:13" x14ac:dyDescent="0.3">
      <c r="A12" s="12" t="s">
        <v>36</v>
      </c>
      <c r="B12" s="12"/>
      <c r="C12" s="12"/>
      <c r="F12" s="10" t="e">
        <v>#VALUE!</v>
      </c>
      <c r="G12" s="10" t="e">
        <v>#VALUE!</v>
      </c>
      <c r="H12" s="10" t="e">
        <v>#VALUE!</v>
      </c>
      <c r="I12" s="10" t="e">
        <v>#VALUE!</v>
      </c>
      <c r="J12" s="10" t="e">
        <v>#VALUE!</v>
      </c>
      <c r="K12" s="10" t="e">
        <v>#VALUE!</v>
      </c>
      <c r="L12" s="10" t="e">
        <v>#VALUE!</v>
      </c>
      <c r="M12" s="10" t="e">
        <v>#VALUE!</v>
      </c>
    </row>
    <row r="13" spans="1:13" x14ac:dyDescent="0.3">
      <c r="A13" s="1" t="s">
        <v>4</v>
      </c>
      <c r="B13" s="1" t="e">
        <f>RTD("rit2.rtd",,"ALGO","LAST")</f>
        <v>#N/A</v>
      </c>
      <c r="C13" s="1"/>
      <c r="F13" s="10" t="e">
        <v>#VALUE!</v>
      </c>
      <c r="G13" s="10" t="e">
        <v>#VALUE!</v>
      </c>
      <c r="H13" s="10" t="e">
        <v>#VALUE!</v>
      </c>
      <c r="I13" s="10" t="e">
        <v>#VALUE!</v>
      </c>
      <c r="J13" s="10" t="e">
        <v>#VALUE!</v>
      </c>
      <c r="K13" s="10" t="e">
        <v>#VALUE!</v>
      </c>
      <c r="L13" s="10" t="e">
        <v>#VALUE!</v>
      </c>
      <c r="M13" s="10" t="e">
        <v>#VALUE!</v>
      </c>
    </row>
    <row r="14" spans="1:13" x14ac:dyDescent="0.3">
      <c r="F14" s="10" t="e">
        <v>#VALUE!</v>
      </c>
      <c r="G14" s="10" t="e">
        <v>#VALUE!</v>
      </c>
      <c r="H14" s="10" t="e">
        <v>#VALUE!</v>
      </c>
      <c r="I14" s="10" t="e">
        <v>#VALUE!</v>
      </c>
      <c r="J14" s="10" t="e">
        <v>#VALUE!</v>
      </c>
      <c r="K14" s="10" t="e">
        <v>#VALUE!</v>
      </c>
      <c r="L14" s="10" t="e">
        <v>#VALUE!</v>
      </c>
      <c r="M14" s="10" t="e">
        <v>#VALUE!</v>
      </c>
    </row>
    <row r="15" spans="1:13" x14ac:dyDescent="0.3">
      <c r="A15" s="12" t="s">
        <v>37</v>
      </c>
      <c r="B15" s="12"/>
      <c r="C15" s="12"/>
      <c r="F15" s="10" t="e">
        <v>#VALUE!</v>
      </c>
      <c r="G15" s="10" t="e">
        <v>#VALUE!</v>
      </c>
      <c r="H15" s="10" t="e">
        <v>#VALUE!</v>
      </c>
      <c r="I15" s="10" t="e">
        <v>#VALUE!</v>
      </c>
      <c r="J15" s="10" t="e">
        <v>#VALUE!</v>
      </c>
      <c r="K15" s="10" t="e">
        <v>#VALUE!</v>
      </c>
      <c r="L15" s="10" t="e">
        <v>#VALUE!</v>
      </c>
      <c r="M15" s="10" t="e">
        <v>#VALUE!</v>
      </c>
    </row>
    <row r="16" spans="1:13" x14ac:dyDescent="0.3">
      <c r="A16" s="13"/>
      <c r="B16" s="13" t="s">
        <v>0</v>
      </c>
      <c r="C16" s="13" t="s">
        <v>1</v>
      </c>
      <c r="F16" s="10" t="e">
        <v>#VALUE!</v>
      </c>
      <c r="G16" s="10" t="e">
        <v>#VALUE!</v>
      </c>
      <c r="H16" s="10" t="e">
        <v>#VALUE!</v>
      </c>
      <c r="I16" s="10" t="e">
        <v>#VALUE!</v>
      </c>
      <c r="J16" s="10" t="e">
        <v>#VALUE!</v>
      </c>
      <c r="K16" s="10" t="e">
        <v>#VALUE!</v>
      </c>
      <c r="L16" s="10" t="e">
        <v>#VALUE!</v>
      </c>
      <c r="M16" s="10" t="e">
        <v>#VALUE!</v>
      </c>
    </row>
    <row r="17" spans="1:3" x14ac:dyDescent="0.3">
      <c r="A17" s="13" t="s">
        <v>5</v>
      </c>
      <c r="B17" s="13" t="e">
        <f>RTD("rit2.rtd",,"ALGO","BID",1)</f>
        <v>#N/A</v>
      </c>
      <c r="C17" s="13" t="e">
        <f>RTD("rit2.rtd",,"ALGO","ASK",1)</f>
        <v>#N/A</v>
      </c>
    </row>
    <row r="18" spans="1:3" x14ac:dyDescent="0.3">
      <c r="A18" s="13" t="s">
        <v>6</v>
      </c>
      <c r="B18" s="13" t="e">
        <f>RTD("rit2.rtd",,"ALGO","BID",2)</f>
        <v>#N/A</v>
      </c>
      <c r="C18" s="13" t="e">
        <f>RTD("rit2.rtd",,"ALGO","ASK",2)</f>
        <v>#N/A</v>
      </c>
    </row>
    <row r="19" spans="1:3" x14ac:dyDescent="0.3">
      <c r="A19" s="13" t="s">
        <v>7</v>
      </c>
      <c r="B19" s="13" t="e">
        <f>RTD("rit2.rtd",,"ALGO","BID",3)</f>
        <v>#N/A</v>
      </c>
      <c r="C19" s="13" t="e">
        <f>RTD("rit2.rtd",,"ALGO","ASK",3)</f>
        <v>#N/A</v>
      </c>
    </row>
    <row r="20" spans="1:3" x14ac:dyDescent="0.3">
      <c r="A20" s="13" t="s">
        <v>8</v>
      </c>
      <c r="B20" s="13" t="e">
        <f>RTD("rit2.rtd",,"ALGO","BID",4)</f>
        <v>#N/A</v>
      </c>
      <c r="C20" s="13" t="e">
        <f>RTD("rit2.rtd",,"ALGO","ASK",4)</f>
        <v>#N/A</v>
      </c>
    </row>
    <row r="21" spans="1:3" x14ac:dyDescent="0.3">
      <c r="A21" s="13" t="s">
        <v>9</v>
      </c>
      <c r="B21" s="13" t="e">
        <f>RTD("rit2.rtd",,"ALGO","BID",5)</f>
        <v>#N/A</v>
      </c>
      <c r="C21" s="13" t="e">
        <f>RTD("rit2.rtd",,"ALGO","ASK",5)</f>
        <v>#N/A</v>
      </c>
    </row>
    <row r="23" spans="1:3" x14ac:dyDescent="0.3">
      <c r="A23" s="11" t="s">
        <v>34</v>
      </c>
      <c r="B23" s="10" t="e">
        <f>IF(B5&lt;200,0,0.01)</f>
        <v>#N/A</v>
      </c>
      <c r="C23" t="s">
        <v>38</v>
      </c>
    </row>
    <row r="24" spans="1:3" x14ac:dyDescent="0.3">
      <c r="A24" s="11" t="s">
        <v>41</v>
      </c>
      <c r="B24" t="e">
        <f>IF(B5&lt;200, 2500, 5000)</f>
        <v>#N/A</v>
      </c>
    </row>
    <row r="25" spans="1:3" x14ac:dyDescent="0.3">
      <c r="A25" s="11" t="s">
        <v>3</v>
      </c>
      <c r="B25" t="e">
        <f>marketmake(timeremaining)</f>
        <v>#VALUE!</v>
      </c>
    </row>
  </sheetData>
  <mergeCells count="1">
    <mergeCell ref="A1:M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7"/>
  <sheetViews>
    <sheetView workbookViewId="0">
      <selection activeCell="G6" sqref="G6"/>
    </sheetView>
  </sheetViews>
  <sheetFormatPr defaultRowHeight="14.4" x14ac:dyDescent="0.3"/>
  <cols>
    <col min="2" max="2" width="12.44140625" customWidth="1"/>
    <col min="3" max="3" width="18.21875" customWidth="1"/>
  </cols>
  <sheetData>
    <row r="1" spans="1:3" x14ac:dyDescent="0.3">
      <c r="A1" s="2" t="s">
        <v>11</v>
      </c>
    </row>
    <row r="2" spans="1:3" x14ac:dyDescent="0.3">
      <c r="B2" s="9" t="s">
        <v>10</v>
      </c>
    </row>
    <row r="3" spans="1:3" x14ac:dyDescent="0.3">
      <c r="B3" t="e">
        <f>RTD("rit2.rtd",,"ALGO","OPENORDERS")</f>
        <v>#N/A</v>
      </c>
    </row>
    <row r="5" spans="1:3" x14ac:dyDescent="0.3">
      <c r="B5" s="3"/>
      <c r="C5" s="3" t="s">
        <v>22</v>
      </c>
    </row>
    <row r="6" spans="1:3" x14ac:dyDescent="0.3">
      <c r="B6" s="3" t="s">
        <v>23</v>
      </c>
      <c r="C6" s="3" t="e">
        <f>'Trade Sheet'!F9</f>
        <v>#VALUE!</v>
      </c>
    </row>
    <row r="7" spans="1:3" x14ac:dyDescent="0.3">
      <c r="A7" t="s">
        <v>24</v>
      </c>
      <c r="B7" s="3" t="s">
        <v>25</v>
      </c>
      <c r="C7" s="3" t="e">
        <f>'Trade Sheet'!F10</f>
        <v>#VALUE!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11</vt:i4>
      </vt:variant>
    </vt:vector>
  </HeadingPairs>
  <TitlesOfParts>
    <vt:vector size="13" baseType="lpstr">
      <vt:lpstr>Trade Sheet</vt:lpstr>
      <vt:lpstr>Data</vt:lpstr>
      <vt:lpstr>ALGO_ASK</vt:lpstr>
      <vt:lpstr>ALGO_BID</vt:lpstr>
      <vt:lpstr>current_position</vt:lpstr>
      <vt:lpstr>order1ID</vt:lpstr>
      <vt:lpstr>Order2ID</vt:lpstr>
      <vt:lpstr>quantitytraded</vt:lpstr>
      <vt:lpstr>reqspread</vt:lpstr>
      <vt:lpstr>tick1</vt:lpstr>
      <vt:lpstr>tick2</vt:lpstr>
      <vt:lpstr>timeelapsed</vt:lpstr>
      <vt:lpstr>timeremaining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Trader58</dc:creator>
  <cp:lastModifiedBy>Surya Ravichandran</cp:lastModifiedBy>
  <dcterms:created xsi:type="dcterms:W3CDTF">2018-02-26T21:41:16Z</dcterms:created>
  <dcterms:modified xsi:type="dcterms:W3CDTF">2020-10-09T21:00:32Z</dcterms:modified>
</cp:coreProperties>
</file>